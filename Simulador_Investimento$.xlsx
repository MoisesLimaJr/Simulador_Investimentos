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7A5F7957-0E09-4F1F-95D4-F73318FAB21C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<sst xmlns="http://schemas.openxmlformats.org/spreadsheetml/2006/main" count="71" uniqueCount="34">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</sst>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6" fontId="10" fillId="4" borderId="6" xfId="0" applyNumberFormat="1" applyFont="1" applyFill="1" applyBorder="1" applyAlignment="1">
      <alignment horizontal="center"/>
    </xf>
    <xf numFmtId="166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6" fontId="10" fillId="4" borderId="9" xfId="0" applyNumberFormat="1" applyFont="1" applyFill="1" applyBorder="1" applyAlignment="1">
      <alignment horizontal="center"/>
    </xf>
    <xf numFmtId="166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6" fontId="10" fillId="4" borderId="12" xfId="0" applyNumberFormat="1" applyFont="1" applyFill="1" applyBorder="1" applyAlignment="1">
      <alignment horizontal="center"/>
    </xf>
    <xf numFmtId="166" fontId="10" fillId="4" borderId="13" xfId="0" applyNumberFormat="1" applyFont="1" applyFill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164" fontId="11" fillId="4" borderId="19" xfId="0" applyNumberFormat="1" applyFont="1" applyFill="1" applyBorder="1" applyAlignment="1">
      <alignment horizontal="center"/>
    </xf>
    <xf numFmtId="164" fontId="11" fillId="4" borderId="22" xfId="0" applyNumberFormat="1" applyFont="1" applyFill="1" applyBorder="1" applyAlignment="1">
      <alignment horizontal="center"/>
    </xf>
    <xf numFmtId="166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6" fontId="10" fillId="6" borderId="22" xfId="0" applyNumberFormat="1" applyFont="1" applyFill="1" applyBorder="1" applyAlignment="1">
      <alignment horizontal="center"/>
    </xf>
    <xf numFmtId="0" fontId="2" fillId="2" borderId="0" xfId="3"/>
    <xf numFmtId="0" fontId="3" fillId="6" borderId="0" xfId="0" applyFont="1" applyFill="1"/>
    <xf numFmtId="166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6" fontId="3" fillId="7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13" fillId="2" borderId="0" xfId="3" applyFont="1"/>
    <xf numFmtId="0" fontId="13" fillId="2" borderId="0" xfId="3" applyFont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75-4F01-B204-017FC426AF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75-4F01-B204-017FC426AF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75-4F01-B204-017FC426AF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75-4F01-B204-017FC426AF4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75-4F01-B204-017FC426AF4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75-4F01-B204-017FC426AF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xlsrvcd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333375</xdr:colOff>
      <xdr:row>0</xdr:row>
      <xdr:rowOff>-85725</xdr:rowOff>
    </xdr:from>
    <xdr:to>
      <xdr:col>1</xdr:col>
      <xdr:colOff>333375</xdr:colOff>
      <xdr:row>0</xdr:row>
      <xdr:rowOff>-85725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2D07B3-F061-F768-BD7D-AAB8EA20F895}"/>
            </a:ext>
            <a:ext uri="{147F2762-F138-4A5C-976F-8EAC2B608ADB}">
              <a16:predDERef xmlns:a16="http://schemas.microsoft.com/office/drawing/2014/main" pred="{5E5E7D09-E94D-D779-64F1-D04F9CCF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-857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0</xdr:rowOff>
    </xdr:from>
    <xdr:to>
      <xdr:col>4</xdr:col>
      <xdr:colOff>66675</xdr:colOff>
      <xdr:row>9</xdr:row>
      <xdr:rowOff>123825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CC8B82A-A722-F889-81B1-4DEC69EAE73C}"/>
            </a:ext>
            <a:ext uri="{147F2762-F138-4A5C-976F-8EAC2B608ADB}">
              <a16:predDERef xmlns:a16="http://schemas.microsoft.com/office/drawing/2014/main" pred="{77F52A0E-4BA4-2510-12B9-E4017063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0"/>
          <a:ext cx="541020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5" zoomScale="110" zoomScaleNormal="110" workbookViewId="0">
      <selection activeCell="B16" sqref="B16:D16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4" t="s">
        <v>1</v>
      </c>
      <c r="C12" s="45"/>
      <c r="D12" s="23">
        <v>4000</v>
      </c>
    </row>
    <row r="13" spans="2:4" ht="17.45">
      <c r="B13" s="46" t="s">
        <v>2</v>
      </c>
      <c r="C13" s="47"/>
      <c r="D13" s="24">
        <v>6.0000000000000001E-3</v>
      </c>
    </row>
    <row r="14" spans="2:4" ht="18" thickBot="1">
      <c r="B14" s="48" t="s">
        <v>3</v>
      </c>
      <c r="C14" s="49"/>
      <c r="D14" s="25">
        <f>D12*30%</f>
        <v>1200</v>
      </c>
    </row>
    <row r="15" spans="2:4" ht="15" thickBot="1"/>
    <row r="16" spans="2:4" ht="28.5" customHeight="1">
      <c r="B16" s="52" t="s">
        <v>4</v>
      </c>
      <c r="C16" s="53"/>
      <c r="D16" s="56"/>
    </row>
    <row r="17" spans="1:6" ht="17.45">
      <c r="B17" s="44" t="s">
        <v>5</v>
      </c>
      <c r="C17" s="45"/>
      <c r="D17" s="18">
        <v>500</v>
      </c>
    </row>
    <row r="18" spans="1:6" ht="17.45">
      <c r="B18" s="46" t="s">
        <v>6</v>
      </c>
      <c r="C18" s="47"/>
      <c r="D18" s="19">
        <v>5</v>
      </c>
    </row>
    <row r="19" spans="1:6" ht="17.45">
      <c r="B19" s="46" t="s">
        <v>7</v>
      </c>
      <c r="C19" s="47"/>
      <c r="D19" s="20">
        <v>1.0789999999999999E-2</v>
      </c>
    </row>
    <row r="20" spans="1:6" ht="17.45">
      <c r="B20" s="50" t="s">
        <v>8</v>
      </c>
      <c r="C20" s="51"/>
      <c r="D20" s="21">
        <f>FV(taxa_mensal,qtd_anos*12,aporte*-1)</f>
        <v>41888.456999243819</v>
      </c>
    </row>
    <row r="21" spans="1:6" ht="18" thickBot="1">
      <c r="B21" s="54" t="s">
        <v>9</v>
      </c>
      <c r="C21" s="55"/>
      <c r="D21" s="22">
        <f>patrimonio*rendimento_carteira</f>
        <v>251.33074199546292</v>
      </c>
      <c r="F21" s="3"/>
    </row>
    <row r="22" spans="1:6" ht="15" thickBot="1"/>
    <row r="23" spans="1:6" ht="29.1">
      <c r="B23" s="52" t="s">
        <v>10</v>
      </c>
      <c r="C23" s="53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13613.813648822608</v>
      </c>
      <c r="D24" s="11">
        <f>C24*rendimento_carteira</f>
        <v>81.682881892935654</v>
      </c>
    </row>
    <row r="25" spans="1:6" ht="17.45">
      <c r="A25" s="1">
        <v>5</v>
      </c>
      <c r="B25" s="12" t="s">
        <v>13</v>
      </c>
      <c r="C25" s="13">
        <f>FV($D$19,$A25*12,$D$17*-1)</f>
        <v>41888.456999243819</v>
      </c>
      <c r="D25" s="14">
        <f>C25*rendimento_carteira</f>
        <v>251.33074199546292</v>
      </c>
    </row>
    <row r="26" spans="1:6" ht="17.45">
      <c r="A26" s="1">
        <v>10</v>
      </c>
      <c r="B26" s="12" t="s">
        <v>14</v>
      </c>
      <c r="C26" s="13">
        <f>FV($D$19,$A26*12,$D$17*-1)</f>
        <v>121642.1062650861</v>
      </c>
      <c r="D26" s="14">
        <f>C26*rendimento_carteira</f>
        <v>729.85263759051657</v>
      </c>
    </row>
    <row r="27" spans="1:6" ht="17.45">
      <c r="A27" s="1">
        <v>20</v>
      </c>
      <c r="B27" s="12" t="s">
        <v>15</v>
      </c>
      <c r="C27" s="13">
        <f>FV($D$19,$A27*12,$D$17*-1)</f>
        <v>562599.20004854025</v>
      </c>
      <c r="D27" s="14">
        <f>C27*rendimento_carteira</f>
        <v>3375.5952002912418</v>
      </c>
    </row>
    <row r="28" spans="1:6" ht="18" thickBot="1">
      <c r="A28" s="1">
        <v>30</v>
      </c>
      <c r="B28" s="15" t="s">
        <v>16</v>
      </c>
      <c r="C28" s="16">
        <f>FV($D$19,$A28*12,$D$17*-1)</f>
        <v>2161084.8275023573</v>
      </c>
      <c r="D28" s="17">
        <f>C28*rendimento_carteira</f>
        <v>12966.508965014144</v>
      </c>
    </row>
    <row r="32" spans="1:6" ht="15">
      <c r="B32" s="42" t="s">
        <v>17</v>
      </c>
      <c r="C32" s="43" t="s">
        <v>18</v>
      </c>
      <c r="D32" s="26"/>
    </row>
    <row r="33" spans="2:4">
      <c r="B33" s="27" t="s">
        <v>19</v>
      </c>
      <c r="C33" s="28">
        <v>100</v>
      </c>
      <c r="D33" s="27"/>
    </row>
    <row r="35" spans="2:4">
      <c r="B35" s="29" t="s">
        <v>20</v>
      </c>
      <c r="C35" s="29" t="s">
        <v>21</v>
      </c>
      <c r="D35" s="29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32">
        <f>C36*$C$33</f>
        <v>32</v>
      </c>
    </row>
    <row r="37" spans="2:4">
      <c r="B37" s="2" t="s">
        <v>24</v>
      </c>
      <c r="C37" s="4">
        <f>VLOOKUP($C$32&amp;"-"&amp;B37,Planilha2!$A:$D,4,FALSE)</f>
        <v>0.35</v>
      </c>
      <c r="D37" s="32">
        <f t="shared" ref="D37:D41" si="0">C37*$C$33</f>
        <v>35</v>
      </c>
    </row>
    <row r="38" spans="2:4">
      <c r="B38" s="2" t="s">
        <v>25</v>
      </c>
      <c r="C38" s="4">
        <f>VLOOKUP($C$32&amp;"-"&amp;B38,Planilha2!$A:$D,4,FALSE)</f>
        <v>0.08</v>
      </c>
      <c r="D38" s="32">
        <f t="shared" si="0"/>
        <v>8</v>
      </c>
    </row>
    <row r="39" spans="2:4">
      <c r="B39" s="2" t="s">
        <v>26</v>
      </c>
      <c r="C39" s="4">
        <f>VLOOKUP($C$32&amp;"-"&amp;B39,Planilha2!$A:$D,4,FALSE)</f>
        <v>0.05</v>
      </c>
      <c r="D39" s="32">
        <f t="shared" si="0"/>
        <v>5</v>
      </c>
    </row>
    <row r="40" spans="2:4">
      <c r="B40" s="2" t="s">
        <v>27</v>
      </c>
      <c r="C40" s="4">
        <f>VLOOKUP($C$32&amp;"-"&amp;B40,Planilha2!$A:$D,4,FALSE)</f>
        <v>0.1</v>
      </c>
      <c r="D40" s="32">
        <f t="shared" si="0"/>
        <v>10</v>
      </c>
    </row>
    <row r="41" spans="2:4">
      <c r="B41" s="2" t="s">
        <v>28</v>
      </c>
      <c r="C41" s="4">
        <f>VLOOKUP($C$32&amp;"-"&amp;B41,Planilha2!$A:$D,4,FALSE)</f>
        <v>0.1</v>
      </c>
      <c r="D41" s="32">
        <f t="shared" si="0"/>
        <v>10</v>
      </c>
    </row>
    <row r="42" spans="2:4">
      <c r="B42" s="30"/>
      <c r="C42" s="30"/>
      <c r="D42" s="31">
        <f>SUM(D36:D41)</f>
        <v>100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10" sqref="C10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0" t="s">
        <v>29</v>
      </c>
      <c r="B2" s="40" t="s">
        <v>17</v>
      </c>
      <c r="C2" s="41" t="s">
        <v>20</v>
      </c>
      <c r="D2" s="41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39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3" t="str">
        <f t="shared" si="0"/>
        <v>Conservador-HOTELARIAS</v>
      </c>
      <c r="B8" s="33" t="s">
        <v>31</v>
      </c>
      <c r="C8" s="34" t="s">
        <v>28</v>
      </c>
      <c r="D8" s="35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6" t="str">
        <f t="shared" si="0"/>
        <v>Moderado-TIJOLO</v>
      </c>
      <c r="B10" s="36" t="s">
        <v>18</v>
      </c>
      <c r="C10" s="37" t="s">
        <v>24</v>
      </c>
      <c r="D10" s="38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3" t="str">
        <f t="shared" si="0"/>
        <v>Moderado-HOTELARIAS</v>
      </c>
      <c r="B14" s="33" t="s">
        <v>18</v>
      </c>
      <c r="C14" s="34" t="s">
        <v>28</v>
      </c>
      <c r="D14" s="35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62BBC473-00BC-48E4-BFA3-FE8E2B1F0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2026-01-30T23:24:42Z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